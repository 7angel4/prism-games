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gel/Desktop/prism-games/prism-examples/csgs/learning/"/>
    </mc:Choice>
  </mc:AlternateContent>
  <xr:revisionPtr revIDLastSave="0" documentId="13_ncr:1_{122FD99B-5AFE-7D4E-8C38-AA8C37AC6AD3}" xr6:coauthVersionLast="47" xr6:coauthVersionMax="47" xr10:uidLastSave="{00000000-0000-0000-0000-000000000000}"/>
  <bookViews>
    <workbookView xWindow="0" yWindow="0" windowWidth="38400" windowHeight="21600" xr2:uid="{10DC5DE2-A7EE-4E41-A7E1-52FAA6DC551A}"/>
  </bookViews>
  <sheets>
    <sheet name="benchmarks" sheetId="2" r:id="rId1"/>
    <sheet name="Sheet1" sheetId="1" r:id="rId2"/>
  </sheets>
  <definedNames>
    <definedName name="safe_risky2" localSheetId="0">benchmarks!#REF!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" i="1" l="1"/>
  <c r="L7" i="1"/>
  <c r="L8" i="1"/>
  <c r="L4" i="1"/>
  <c r="L5" i="1"/>
  <c r="AF24" i="1"/>
  <c r="AF24" i="1" a="1"/>
  <c r="AC22" i="2"/>
  <c r="AC22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<sst xmlns="http://schemas.openxmlformats.org/spreadsheetml/2006/main" count="132" uniqueCount="69">
  <si>
    <t>Example</t>
  </si>
  <si>
    <t>Property</t>
  </si>
  <si>
    <t>True value</t>
  </si>
  <si>
    <t>safe risky</t>
  </si>
  <si>
    <t>Max/avg (actions)</t>
  </si>
  <si>
    <t>(2,2)/(2.00,2.00)</t>
  </si>
  <si>
    <t>found</t>
  </si>
  <si>
    <t>value</t>
  </si>
  <si>
    <t>SW</t>
  </si>
  <si>
    <t>(17.15, 17.15)</t>
  </si>
  <si>
    <t>Players:     2
States:      4 (1 initial)
Transitions: 28
Choices:     16
Max/avg:     4/4.00</t>
  </si>
  <si>
    <t>p_reach</t>
  </si>
  <si>
    <t>log</t>
  </si>
  <si>
    <t>Episode 1: Resolving exploration RMDP
Slot (0,1) is now known. Remaining unknown slots: 15
Episode 112210: Resolving exploration RMDP
Slot (0,2) is now known. Remaining unknown slots: 14
Episode 112251: Resolving exploration RMDP
Slot (0,0) is now known. Remaining unknown slots: 13
Episode 112296: Resolving exploration RMDP
Slot (0,3) is now known. Remaining unknown slots: 12
Episode 112301: Resolving exploration RMDP
Slot (1,1) is now known. Remaining unknown slots: 11
Episode 141739: Resolving exploration RMDP
Slot (1,0) is now known. Remaining unknown slots: 10
Episode 141813: Resolving exploration RMDP
Slot (1,3) is now known. Remaining unknown slots: 9
Episode 141839: Resolving exploration RMDP
Slot (1,2) is now known. Remaining unknown slots: 8
Episode 141851: Resolving exploration RMDP
Slot (3,3) is now known. Remaining unknown slots: 7
Episode 210668: Resolving exploration RMDP
Slot (3,2) is now known. Remaining unknown slots: 6
Episode 210676: Resolving exploration RMDP
Slot (3,0) is now known. Remaining unknown slots: 5
Episode 210684: Resolving exploration RMDP
Slot (3,1) is now known. Remaining unknown slots: 4
Episode 210809: Resolving exploration RMDP</t>
  </si>
  <si>
    <t>episodes</t>
  </si>
  <si>
    <t>deltaT</t>
  </si>
  <si>
    <t>nMin</t>
  </si>
  <si>
    <t>Execution time (ms)</t>
  </si>
  <si>
    <t>Empirical</t>
  </si>
  <si>
    <t>Avg time (s)</t>
  </si>
  <si>
    <t>very_simple</t>
  </si>
  <si>
    <t>Players:     2
States:      3 (1 initial)
Transitions: 15
Choices:     12
Max/avg:     4/4.00</t>
  </si>
  <si>
    <t>effHorizon</t>
  </si>
  <si>
    <t>CSG info</t>
  </si>
  <si>
    <t>p_stop</t>
  </si>
  <si>
    <t>Slot (0,1) is now known. Remaining unknown slots: 11
Episode 1576: Resolving exploration RMDP
Slot (0,2) is now known. Remaining unknown slots: 10
Episode 1578: Resolving exploration RMDP
Slot (0,3) is now known. Remaining unknown slots: 9
Episode 1579: Resolving exploration RMDP
Slot (0,0) is now known. Remaining unknown slots: 8
Episode 1584: Resolving exploration RMDP
Slot (2,0) is now known. Remaining unknown slots: 7
Episode 1654: Resolving exploration RMDP
Slot (2,2) is now known. Remaining unknown slots: 6
Episode 1669: Resolving exploration RMDP
Slot (2,1) is now known. Remaining unknown slots: 5
Episode 1671: Resolving exploration RMDP
Slot (2,3) is now known. Remaining unknown slots: 4
Episode 1672: Resolving exploration RMDP</t>
  </si>
  <si>
    <t>Robust</t>
  </si>
  <si>
    <t>Point</t>
  </si>
  <si>
    <t>strategy</t>
  </si>
  <si>
    <t>foundNE</t>
  </si>
  <si>
    <t>CSG: $ s:0 -&gt;  $ s:1 -&gt;  $ s:2 -&gt;</t>
  </si>
  <si>
    <t>True CSG</t>
  </si>
  <si>
    <t>(0.0,1.0)</t>
  </si>
  <si>
    <t>dev gain</t>
  </si>
  <si>
    <t>(0.9,0.9)</t>
  </si>
  <si>
    <t>true value</t>
  </si>
  <si>
    <t>Slot (0,1) is now known. Remaining unknown slots: 11
Episode 341: Resolving exploration RMDP
Slot (0,0) is now known. Remaining unknown slots: 10
Episode 346: Resolving exploration RMDP
Slot (0,3) is now known. Remaining unknown slots: 9
Episode 347: Resolving exploration RMDP
Slot (0,2) is now known. Remaining unknown slots: 8
Episode 351: Resolving exploration RMDP
Slot (2,0) is now known. Remaining unknown slots: 7
Episode 819: Resolving exploration RMDP
Slot (2,2) is now known. Remaining unknown slots: 6
Episode 820: Resolving exploration RMDP
Slot (2,1) is now known. Remaining unknown slots: 5
Episode 825: Resolving exploration RMDP
Slot (2,3) is now known. Remaining unknown slots: 4
Episode 827: Resolving exploration RMDP</t>
  </si>
  <si>
    <t>NaN</t>
  </si>
  <si>
    <t>General</t>
  </si>
  <si>
    <t>CSG: $ s:0 -&gt;  $ s:1 -&gt;  $ s:2 -&gt;  $ s:3 -&gt;</t>
  </si>
  <si>
    <t>(31.999393886022,31.999393886022)</t>
  </si>
  <si>
    <t>Slot (1,1) is now known. Remaining unknown slots: 15
Episode 269021: Resolving exploration RMDP
Slot (1,2) is now known. Remaining unknown slots: 14
Episode 269030: Resolving exploration RMDP
Slot (1,3) is now known. Remaining unknown slots: 13
Episode 269051: Resolving exploration RMDP
Slot (1,0) is now known. Remaining unknown slots: 12
Episode 269067: Resolving exploration RMDP
Slot (0,2) is now known. Remaining unknown slots: 11
Episode 367960: Resolving exploration RMDP
Slot (0,3) is now known. Remaining unknown slots: 10
Episode 368018: Resolving exploration RMDP
Slot (0,0) is now known. Remaining unknown slots: 9
Episode 368020: Resolving exploration RMDP
Slot (0,1) is now known. Remaining unknown slots: 8
Episode 368131: Resolving exploration RMDP
Slot (3,1) is now known. Remaining unknown slots: 7
Episode 426800: Resolving exploration RMDP
Slot (3,2) is now known. Remaining unknown slots: 6
Episode 426869: Resolving exploration RMDP
Slot (3,3) is now known. Remaining unknown slots: 5
Episode 426898: Resolving exploration RMDP
Slot (3,0) is now known. Remaining unknown slots: 4
Episode 426964: Resolving exploration RMDP
Max/avg (actions): (2,2)/(2.00,2.00)
Starting equilibria computation (solver=Yices 2.6.4)...
Checking whether all objectives are reachable...
Value iteration converged after 212 iterations.
Precomputation took 0.002 seconds.
Coalition results (initial state): (31.999393886022,31.999393886022)
True SolveOutcome{found = true, value = 63.998787772044, strategy = CSG: $ s:0 -&gt;  $ s:1 -&gt;  $ s:2 -&gt;  $ s:3 -&gt; }
---------------------------------------
Starting expected reachability...
target=3, inf=0, rest=1
Starting value iteration (with Jacobi) ...
Expected reachability took 0.0 seconds.
True value of returned strategy: 0.0</t>
  </si>
  <si>
    <t>Notes</t>
  </si>
  <si>
    <t>Slot (1,0) is now known. Remaining unknown slots: 15
Episode 70083: Resolving exploration RMDP
Slot (1,1) is now known. Remaining unknown slots: 14
Episode 70087: Resolving exploration RMDP
Slot (1,2) is now known. Remaining unknown slots: 13
Episode 70091: Resolving exploration RMDP
Slot (1,3) is now known. Remaining unknown slots: 12
Episode 70109: Resolving exploration RMDP
Slot (0,1) is now known. Remaining unknown slots: 11
Episode 95616: Resolving exploration RMDP
Slot (0,3) is now known. Remaining unknown slots: 10
Episode 95680: Resolving exploration RMDP
Slot (0,2) is now known. Remaining unknown slots: 9
Episode 95689: Resolving exploration RMDP
Slot (0,0) is now known. Remaining unknown slots: 8
Episode 95702: Resolving exploration RMDP
Slot (3,1) is now known. Remaining unknown slots: 7
Episode 110822: Resolving exploration RMDP
Slot (3,2) is now known. Remaining unknown slots: 6
Episode 110872: Resolving exploration RMDP
Slot (3,3) is now known. Remaining unknown slots: 5
Episode 110887: Resolving exploration RMDP
Slot (3,0) is now known. Remaining unknown slots: 4
Episode 110896: Resolving exploration RMDP</t>
  </si>
  <si>
    <t>Type:        CSG
Players:     2
States:      4 (1 initial)
Transitions: 28
Choices:     16
Max/avg:     4/4.00
Max/avg (actions): (2,2)/(2.00,2.00)
Max/avg (actions): (2,2)/(2.00,2.00)
Disabling Prob1 precomputation to allow strategy generation
Value iteration converged after 1 iterations.
Max/avg (actions): (2,2)/(2.00,2.00)
Max/avg (actions): (2,2)/(2.00,2.00)
Disabling Prob1 precomputation to allow strategy generation
Value iteration converged after 21 iterations.
Stopping probability: 1.0
Effective horizon: 4
Lower bound on reachability probability: 0.0
...
Episode 110896: Resolving exploration RMDP
Max/avg (actions): (2,2)/(2.00,2.00)
Max/avg (actions): (2,2)/(2.00,2.00)
Disabling Prob1 precomputation to allow strategy generation
Exception raised by lpSolve when computing value for state 3. lpSolve status: NUMERIC FAILURE encountered
Rounding up entries...
Max/avg (actions): (2,2)/(2.00,2.00)
Max/avg (actions): (2,2)/(2.00,2.00)
Disabling Prob1 precomputation to allow strategy generation
Exception raised by lpSolve when computing value for state 3. lpSolve status: NUMERIC FAILURE encountered
Rounding up entries...
Exception in thread "main" Error: No NE found but zero-sum property should always have an NE.
	at learning.PACLearner.runPacLoop(PACLearner.java:134)
	at learning.PACLearner.runPacLoop(PACLearner.java:78)
	at learning.PACLearner.main(PACLearner.java:474)</t>
  </si>
  <si>
    <t>Must disable genStrat to allow Prob1 precomputation</t>
  </si>
  <si>
    <t>Slot (0,3) is now known. Remaining unknown slots: 11
Episode 426: Resolving exploration RMDP
Slot (0,1) is now known. Remaining unknown slots: 10
Episode 428: Resolving exploration RMDP
Slot (0,0) is now known. Remaining unknown slots: 9
Episode 429: Resolving exploration RMDP
Slot (0,2) is now known. Remaining unknown slots: 8
Episode 432: Resolving exploration RMDP
Slot (2,0) is now known. Remaining unknown slots: 7
Episode 444: Resolving exploration RMDP
Slot (2,1) is now known. Remaining unknown slots: 6
Slot (2,3) is now known. Remaining unknown slots: 5
Episode 454: Resolving exploration RMDP
Slot (2,2) is now known. Remaining unknown slots: 4
Episode 459: Resolving exploration RMDP</t>
  </si>
  <si>
    <t>aloha</t>
  </si>
  <si>
    <t>Players:     2
States:      3 (1 initial)
Transitions: 12
Choices:     12
Max/avg:     4/4.00
Max/avg (actions): (2,2)/(2.00,2.00)</t>
  </si>
  <si>
    <t>Slot (0,0) is now known. Remaining unknown slots: 11
Episode 71816: Resolving exploration RMDP
Slot (0,2) is now known. Remaining unknown slots: 10
Episode 72025: Resolving exploration RMDP
Slot (0,1) is now known. Remaining unknown slots: 9
Episode 72029: Resolving exploration RMDP
Slot (0,3) is now known. Remaining unknown slots: 8
Episode 72069: Resolving exploration RMDP
Slot (1,0) is now known. Remaining unknown slots: 7
Episode 82727: Resolving exploration RMDP
Slot (1,3) is now known. Remaining unknown slots: 6
Episode 82794: Resolving exploration RMDP
Slot (1,2) is now known. Remaining unknown slots: 5
Episode 82974: Resolving exploration RMDP
Slot (1,1) is now known. Remaining unknown slots: 4
Episode 82994: Resolving exploration RMDP</t>
  </si>
  <si>
    <t>eps</t>
  </si>
  <si>
    <t>confidence</t>
  </si>
  <si>
    <t>$ s:0 -&gt;  $ s:1 -&gt;  $ s:2 -&gt;</t>
  </si>
  <si>
    <t>&lt;&lt;p1&gt;&gt; Pmax=? [ F s=1 ]</t>
  </si>
  <si>
    <t>&lt;&lt;p1:p2&gt;&gt; max=? ( R{"r1"}[F s=1] + R{"r2"}[F s=1] )</t>
  </si>
  <si>
    <t>Slot (0,0) is now known. Remaining unknown slots: 11
Episode 280039: Resolving exploration RMDP
Slot (0,2) is now known. Remaining unknown slots: 10
Episode 280112: Resolving exploration RMDP
Slot (0,3) is now known. Remaining unknown slots: 9
Episode 280209: Resolving exploration RMDP
Slot (0,1) is now known. Remaining unknown slots: 8
Episode 280307: Resolving exploration RMDP
Slot (1,0) is now known. Remaining unknown slots: 7
Episode 323436: Resolving exploration RMDP
Slot (1,2) is now known. Remaining unknown slots: 6
Episode 323531: Resolving exploration RMDP
Slot (1,3) is now known. Remaining unknown slots: 5
Episode 323728: Resolving exploration RMDP
Slot (1,1) is now known. Remaining unknown slots: 4
Episode 323828: Resolving exploration RMDP</t>
  </si>
  <si>
    <t>(0.0,0.0)</t>
  </si>
  <si>
    <t>Type:        CSG
Players:     2
States:      3 (1 initial)
Transitions: 13
Choices:     12
Max/avg:     4/4.00
Max/avg (actions): (2,2)/(2.00,2.00)
Max/avg (actions): (2,2)/(2.00,2.00)
Disabling Prob1 precomputation to allow strategy generation
Value iteration converged after 2 iterations.
Max/avg (actions): (2,2)/(2.00,2.00)
Max/avg (actions): (2,2)/(2.00,2.00)
Disabling Prob1 precomputation to allow strategy generation
Value iteration converged after 2 iterations.
Stopping probability: 1.0
Effective horizon: 3
Lower bound on reachability probability: 1.0
Slot (1,0) is now known. Remaining unknown slots: 11
Episode 75037: Resolving exploration RMDP
Slot (1,3) is now known. Remaining unknown slots: 10
Episode 75199: Resolving exploration RMDP
Slot (1,1) is now known. Remaining unknown slots: 9
Episode 75338: Resolving exploration RMDP
Slot (1,2) is now known. Remaining unknown slots: 8
Episode 75496: Resolving exploration RMDP
Slot (0,2) is now known. Remaining unknown slots: 7
Episode 92230: Resolving exploration RMDP
Slot (0,0) is now known. Remaining unknown slots: 6
Episode 92319: Resolving exploration RMDP
Slot (0,1) is now known. Remaining unknown slots: 5
Episode 92493: Resolving exploration RMDP
Slot (0,3) is now known. Remaining unknown slots: 4
Episode 92576: Resolving exploration RMDP
Max/avg (actions): (2,2)/(2.00,2.00)
Max/avg (actions): (2,2)/(2.00,2.00)
Disabling Prob1 precomputation to allow strategy generation
Value iteration converged after 2 iterations.
Max/avg (actions): (2,2)/(2.00,2.00)
Max/avg (actions): (2,2)/(2.00,2.00)
Disabling Prob1 precomputation to allow strategy generation
Value iteration converged after 2 iterations.
---------------------------------------
Epsilon: 0.1
Confidence: 0.05
Execution time: 54381.690167 ms
Episodes=117666
DeltaT=0.04999992660619054
nMin=579269
---------------------------------------
Robust SolveOutcome{found = true, value = 0.6650091604107602, strategy = CSG: $ s:0 -&gt;  $ s:1 -&gt;  $ s:2 -&gt; }
Evaluating robust strategy in true CSG...
Starting probabilistic reachability...
target=1, yes=1, no=1, maybe=1
Starting value iteration (with Jacobi)...
Value iteration (with Jacobi) took 2 iterations, 4 multiplications and 0.003 seconds.
Probabilistic reachability took 0.007 seconds.
True value of learned strategy: 0.6650091604108321
Value gap: 7.194245199571014E-14
Starting probabilistic reachability...
target=1, yes=1, no=1, maybe=1
Starting value iteration (with Jacobi)...
Value iteration (with Jacobi) took 2 iterations, 4 multiplications and 0.0 seconds.
Probabilistic reachability took 0.0 seconds.
Max deviation gain of learned strategy: 7.194245199571014E-14
---------------------------------------
Point SolveOutcome{found = true, value = 0.6671625500336476, strategy = CSG: $ s:0 -&gt;  $ s:1 -&gt;  $ s:2 -&gt; }
Evaluating point strategy in true CSG...
Starting probabilistic reachability...
target=1, yes=1, no=1, maybe=1
Starting value iteration (with Jacobi)...
Value iteration (with Jacobi) took 2 iterations, 4 multiplications and 0.0 seconds.
Probabilistic reachability took 0.0 seconds.
True value of learned strategy: 0.6671625500335178
Value gap: -1.297850715786808E-13
Starting probabilistic reachability...
target=1, yes=1, no=1, maybe=1
Starting value iteration (with Jacobi)...
Value iteration (with Jacobi) took 2 iterations, 4 multiplications and 0.0 seconds.
Probabilistic reachability took 0.0 seconds.
Max deviation gain of learned strategy: -1.297850715786808E-13
---------------------------------------
Starting probabilistic reachability (until)...
Max/avg (actions): (2,2)/(2.00,2.00)
Max/avg (actions): (2,2)/(2.00,2.00)
Disabling Prob1 precomputation to allow strategy generation
target=1, yes=1, no=1, maybe=1
Starting value iteration...
Value iteration converged after 2 iterations.
Precomputation took 0.0 seconds.
True SolveOutcome{found = true, value = 0.6666666666666666, strategy = CSG: $ s:0 -&gt;  $ s:1 -&gt;  $ s:2 -&gt; }</t>
  </si>
  <si>
    <t>$ s:0 -&gt;  $ s:1 -&gt;  $ s:2 -&gt;  $ s:3 -&gt;</t>
  </si>
  <si>
    <t>(0.6,0.4)</t>
  </si>
  <si>
    <t>true SW</t>
  </si>
  <si>
    <t>(0.5,0.5)</t>
  </si>
  <si>
    <t>Infinity</t>
  </si>
  <si>
    <t>value gap</t>
  </si>
  <si>
    <t xml:space="preserve">$ s:0 -&gt;  $ s:1 -&gt;  $ s:2 -&gt;  $ s:3 -&gt; </t>
  </si>
  <si>
    <t>(Infinity,Infinity)</t>
  </si>
  <si>
    <t>no ne</t>
  </si>
  <si>
    <t>traffic_merge</t>
  </si>
  <si>
    <t>Players:     2
States:      6 (1 initial)
Transitions: 28
Choices:     24
Max/avg:     4/4.00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</si>
</sst>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2" fillId="2" borderId="0" xfId="0" applyFont="1" applyFill="1"/>
    <xf numFmtId="11" fontId="0" fillId="0" borderId="0" xfId="0" applyNumberFormat="1"/>
    <xf numFmtId="0" fontId="3" fillId="3" borderId="0" xfId="0" applyFont="1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3" fillId="4" borderId="10" xfId="0" applyFont="1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11" fontId="0" fillId="0" borderId="0" xfId="0" applyNumberFormat="1" applyAlignment="1">
      <alignment horizontal="center" wrapText="1"/>
    </xf>
    <xf numFmtId="0" fontId="0" fillId="5" borderId="0" xfId="0" applyFill="1"/>
    <xf numFmtId="0" fontId="0" fillId="5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770BD-D1E9-9A40-BF3B-C394ED031BF2}">
  <dimension ref="A1:AE22"/>
  <sheetViews>
    <sheetView tabSelected="1" topLeftCell="E1" zoomScale="102" zoomScaleNormal="100" workbookViewId="0">
      <selection activeCell="AC1" sqref="AC1:AC1048576"/>
    </sheetView>
  </sheetViews>
  <sheetFormatPr baseColWidth="10" defaultRowHeight="25" customHeight="1" x14ac:dyDescent="0.2"/>
  <cols>
    <col min="29" max="29" width="10.83203125" customWidth="1"/>
  </cols>
  <sheetData>
    <row r="1" spans="1:31" ht="25" customHeight="1" x14ac:dyDescent="0.2">
      <c r="A1" s="11" t="s">
        <v>38</v>
      </c>
      <c r="B1" s="11"/>
      <c r="C1" s="11"/>
      <c r="D1" s="11"/>
      <c r="I1" s="21" t="s">
        <v>18</v>
      </c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3"/>
      <c r="Y1" s="14"/>
      <c r="Z1" s="14"/>
      <c r="AA1" s="14"/>
      <c r="AB1" s="14"/>
      <c r="AC1" s="17" t="s">
        <v>12</v>
      </c>
      <c r="AD1" s="11" t="s">
        <v>42</v>
      </c>
    </row>
    <row r="2" spans="1:31" ht="25" customHeight="1" x14ac:dyDescent="0.2">
      <c r="A2" s="11"/>
      <c r="B2" s="11"/>
      <c r="C2" s="11"/>
      <c r="D2" s="11"/>
      <c r="I2" s="5"/>
      <c r="J2" s="5"/>
      <c r="K2" s="5"/>
      <c r="L2" s="5"/>
      <c r="M2" s="24" t="s">
        <v>26</v>
      </c>
      <c r="N2" s="25"/>
      <c r="O2" s="25"/>
      <c r="P2" s="25"/>
      <c r="Q2" s="25"/>
      <c r="R2" s="26"/>
      <c r="S2" s="24" t="s">
        <v>27</v>
      </c>
      <c r="T2" s="25"/>
      <c r="U2" s="25"/>
      <c r="V2" s="25"/>
      <c r="W2" s="25"/>
      <c r="X2" s="26"/>
      <c r="Y2" s="16"/>
      <c r="Z2" s="16"/>
      <c r="AA2" s="16"/>
      <c r="AB2" s="16"/>
      <c r="AC2" s="18"/>
      <c r="AD2" s="11"/>
    </row>
    <row r="3" spans="1:31" ht="25" customHeight="1" x14ac:dyDescent="0.2">
      <c r="A3" s="8" t="s">
        <v>0</v>
      </c>
      <c r="B3" s="8" t="s">
        <v>23</v>
      </c>
      <c r="C3" s="8" t="s">
        <v>11</v>
      </c>
      <c r="D3" s="8" t="s">
        <v>24</v>
      </c>
      <c r="E3" s="3" t="s">
        <v>1</v>
      </c>
      <c r="F3" s="3" t="s">
        <v>50</v>
      </c>
      <c r="G3" s="3" t="s">
        <v>51</v>
      </c>
      <c r="H3" s="3" t="s">
        <v>22</v>
      </c>
      <c r="I3" s="4" t="s">
        <v>17</v>
      </c>
      <c r="J3" s="3" t="s">
        <v>14</v>
      </c>
      <c r="K3" s="3" t="s">
        <v>15</v>
      </c>
      <c r="L3" s="3" t="s">
        <v>16</v>
      </c>
      <c r="M3" s="6" t="s">
        <v>29</v>
      </c>
      <c r="N3" s="6" t="s">
        <v>7</v>
      </c>
      <c r="O3" s="6" t="s">
        <v>28</v>
      </c>
      <c r="P3" s="6" t="s">
        <v>35</v>
      </c>
      <c r="Q3" s="6" t="s">
        <v>63</v>
      </c>
      <c r="R3" s="6" t="s">
        <v>33</v>
      </c>
      <c r="S3" s="6" t="s">
        <v>29</v>
      </c>
      <c r="T3" s="6" t="s">
        <v>7</v>
      </c>
      <c r="U3" s="6" t="s">
        <v>28</v>
      </c>
      <c r="V3" s="6" t="s">
        <v>35</v>
      </c>
      <c r="W3" s="6" t="s">
        <v>63</v>
      </c>
      <c r="X3" s="6" t="s">
        <v>33</v>
      </c>
      <c r="Y3" s="3" t="s">
        <v>6</v>
      </c>
      <c r="Z3" s="3" t="s">
        <v>7</v>
      </c>
      <c r="AA3" s="3" t="s">
        <v>60</v>
      </c>
      <c r="AB3" s="3" t="s">
        <v>28</v>
      </c>
      <c r="AC3" s="19"/>
      <c r="AD3" s="11"/>
    </row>
    <row r="4" spans="1:31" ht="25" customHeight="1" x14ac:dyDescent="0.2">
      <c r="A4" s="12" t="s">
        <v>3</v>
      </c>
      <c r="B4" s="10" t="s">
        <v>10</v>
      </c>
      <c r="C4" s="27">
        <v>1.0000000000287499E-6</v>
      </c>
      <c r="D4" s="10">
        <v>1</v>
      </c>
      <c r="E4">
        <v>1</v>
      </c>
      <c r="F4">
        <v>0.1</v>
      </c>
      <c r="G4">
        <v>0.05</v>
      </c>
      <c r="H4">
        <v>4</v>
      </c>
      <c r="I4">
        <v>2629848.9424589998</v>
      </c>
      <c r="J4">
        <v>729213</v>
      </c>
      <c r="K4">
        <v>2.49999902220761E-2</v>
      </c>
      <c r="L4">
        <v>8663565</v>
      </c>
      <c r="M4" t="b">
        <v>1</v>
      </c>
      <c r="N4">
        <v>0.99823896372900001</v>
      </c>
      <c r="O4" t="s">
        <v>58</v>
      </c>
      <c r="P4">
        <v>1</v>
      </c>
      <c r="Q4">
        <v>1.7610362709999899E-3</v>
      </c>
      <c r="R4">
        <v>0</v>
      </c>
      <c r="S4" t="b">
        <v>1</v>
      </c>
      <c r="T4">
        <v>1</v>
      </c>
      <c r="U4" t="s">
        <v>58</v>
      </c>
      <c r="V4">
        <v>1</v>
      </c>
      <c r="W4">
        <v>0</v>
      </c>
      <c r="X4">
        <v>0</v>
      </c>
      <c r="Y4" t="b">
        <v>1</v>
      </c>
      <c r="Z4" t="s">
        <v>59</v>
      </c>
      <c r="AA4">
        <v>1</v>
      </c>
      <c r="AB4" t="s">
        <v>58</v>
      </c>
      <c r="AC4" s="1"/>
    </row>
    <row r="5" spans="1:31" ht="25" customHeight="1" x14ac:dyDescent="0.2">
      <c r="A5" s="12"/>
      <c r="B5" s="10"/>
      <c r="C5" s="10"/>
      <c r="D5" s="10"/>
      <c r="E5">
        <v>2</v>
      </c>
      <c r="F5">
        <v>0.1</v>
      </c>
      <c r="G5">
        <v>0.05</v>
      </c>
      <c r="I5">
        <v>889006.62558300002</v>
      </c>
      <c r="J5">
        <v>350850</v>
      </c>
      <c r="K5">
        <v>2.4999984116478399E-2</v>
      </c>
      <c r="L5">
        <v>2584440</v>
      </c>
      <c r="M5" t="b">
        <v>1</v>
      </c>
      <c r="N5">
        <v>0.99741497035799997</v>
      </c>
      <c r="O5" s="28"/>
      <c r="P5" s="28"/>
      <c r="Q5" s="28"/>
      <c r="R5" s="28"/>
      <c r="T5" t="b">
        <v>1</v>
      </c>
      <c r="U5" s="28">
        <v>1</v>
      </c>
      <c r="V5" s="29"/>
      <c r="W5" s="29"/>
      <c r="X5" s="29"/>
      <c r="Y5" t="b">
        <v>1</v>
      </c>
      <c r="Z5" t="s">
        <v>61</v>
      </c>
      <c r="AA5">
        <v>1</v>
      </c>
      <c r="AC5" s="2"/>
    </row>
    <row r="6" spans="1:31" ht="25" customHeight="1" x14ac:dyDescent="0.2">
      <c r="A6" s="12"/>
      <c r="B6" s="10"/>
      <c r="C6" s="10"/>
      <c r="D6" s="10"/>
      <c r="E6">
        <v>3</v>
      </c>
      <c r="F6">
        <v>0.1</v>
      </c>
      <c r="G6">
        <v>0.05</v>
      </c>
      <c r="H6">
        <v>4</v>
      </c>
      <c r="I6">
        <v>2583136.8941250001</v>
      </c>
      <c r="J6">
        <v>729213</v>
      </c>
      <c r="K6">
        <v>2.49999902220761E-2</v>
      </c>
      <c r="L6">
        <v>8663565</v>
      </c>
      <c r="M6" t="b">
        <v>1</v>
      </c>
      <c r="N6" t="s">
        <v>62</v>
      </c>
      <c r="O6" t="s">
        <v>58</v>
      </c>
      <c r="Q6" s="28"/>
      <c r="R6">
        <v>0</v>
      </c>
      <c r="S6">
        <v>0</v>
      </c>
      <c r="T6" t="b">
        <v>1</v>
      </c>
      <c r="U6" t="s">
        <v>64</v>
      </c>
      <c r="V6" t="s">
        <v>62</v>
      </c>
      <c r="W6" s="28"/>
      <c r="X6">
        <v>0</v>
      </c>
      <c r="Y6" t="b">
        <v>1</v>
      </c>
      <c r="Z6" t="s">
        <v>65</v>
      </c>
      <c r="AA6" t="s">
        <v>62</v>
      </c>
      <c r="AB6" t="s">
        <v>58</v>
      </c>
      <c r="AC6" s="1"/>
      <c r="AE6" s="1"/>
    </row>
    <row r="7" spans="1:31" ht="25" customHeight="1" x14ac:dyDescent="0.2">
      <c r="A7" s="12" t="s">
        <v>66</v>
      </c>
      <c r="B7" s="10"/>
      <c r="C7">
        <v>1</v>
      </c>
      <c r="D7">
        <v>1</v>
      </c>
      <c r="E7">
        <v>1</v>
      </c>
      <c r="F7">
        <v>0.2</v>
      </c>
      <c r="G7">
        <v>0.05</v>
      </c>
      <c r="H7">
        <v>4</v>
      </c>
      <c r="AC7" s="1"/>
    </row>
    <row r="8" spans="1:31" ht="25" customHeight="1" x14ac:dyDescent="0.2">
      <c r="A8" s="12"/>
      <c r="B8" s="10"/>
      <c r="AC8" s="1"/>
    </row>
    <row r="9" spans="1:31" ht="25" customHeight="1" x14ac:dyDescent="0.2">
      <c r="A9" s="12"/>
      <c r="B9" s="10"/>
      <c r="AC9" s="1"/>
    </row>
    <row r="10" spans="1:31" ht="25" customHeight="1" x14ac:dyDescent="0.2">
      <c r="A10" t="s">
        <v>67</v>
      </c>
      <c r="B10" s="1" t="s">
        <v>68</v>
      </c>
      <c r="C10" s="7">
        <v>3.9999940001190201E-6</v>
      </c>
      <c r="D10">
        <v>1</v>
      </c>
      <c r="H10">
        <v>6</v>
      </c>
    </row>
    <row r="11" spans="1:31" ht="25" customHeight="1" x14ac:dyDescent="0.2">
      <c r="C11" s="7"/>
      <c r="AC11" s="1"/>
    </row>
    <row r="14" spans="1:31" ht="25" customHeight="1" x14ac:dyDescent="0.2">
      <c r="A14" s="9"/>
      <c r="B14" s="10"/>
      <c r="C14" s="12"/>
      <c r="D14" s="12"/>
      <c r="R14" s="7"/>
      <c r="X14" s="7"/>
      <c r="AC14" s="1"/>
      <c r="AD14" s="1"/>
    </row>
    <row r="15" spans="1:31" ht="25" customHeight="1" x14ac:dyDescent="0.2">
      <c r="A15" s="9"/>
      <c r="B15" s="10"/>
      <c r="C15" s="12"/>
      <c r="D15" s="12"/>
      <c r="AC15" s="1"/>
    </row>
    <row r="22" spans="29:29" ht="25" customHeight="1" x14ac:dyDescent="0.2">
      <c r="AC22" cm="1">
        <f t="array" aca="1" ref="AC22" ca="1">+AC5:AC22</f>
        <v>0</v>
      </c>
    </row>
  </sheetData>
  <mergeCells count="17">
    <mergeCell ref="A14:A15"/>
    <mergeCell ref="B14:B15"/>
    <mergeCell ref="C14:C15"/>
    <mergeCell ref="D14:D15"/>
    <mergeCell ref="A4:A6"/>
    <mergeCell ref="B4:B6"/>
    <mergeCell ref="C4:C6"/>
    <mergeCell ref="D4:D6"/>
    <mergeCell ref="A7:A9"/>
    <mergeCell ref="B7:B9"/>
    <mergeCell ref="A1:D2"/>
    <mergeCell ref="I1:X1"/>
    <mergeCell ref="Y1:AB2"/>
    <mergeCell ref="AC1:AC3"/>
    <mergeCell ref="AD1:AD3"/>
    <mergeCell ref="M2:R2"/>
    <mergeCell ref="S2:X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775A-F2BD-D047-9A45-BFBAABA6B630}">
  <dimension ref="A1:AH24"/>
  <sheetViews>
    <sheetView topLeftCell="B3" zoomScaleNormal="100" workbookViewId="0">
      <selection activeCell="Y9" sqref="Y9"/>
    </sheetView>
  </sheetViews>
  <sheetFormatPr baseColWidth="10" defaultRowHeight="25" customHeight="1" x14ac:dyDescent="0.2"/>
  <cols>
    <col min="32" max="32" width="10.83203125" customWidth="1"/>
  </cols>
  <sheetData>
    <row r="1" spans="1:34" ht="25" customHeight="1" x14ac:dyDescent="0.2">
      <c r="A1" s="11" t="s">
        <v>38</v>
      </c>
      <c r="B1" s="11"/>
      <c r="C1" s="11"/>
      <c r="D1" s="11"/>
      <c r="I1" s="21" t="s">
        <v>18</v>
      </c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3"/>
      <c r="Z1" s="13" t="s">
        <v>31</v>
      </c>
      <c r="AA1" s="14"/>
      <c r="AB1" s="14"/>
      <c r="AC1" s="14"/>
      <c r="AD1" s="14"/>
      <c r="AE1" s="14"/>
      <c r="AF1" s="17" t="s">
        <v>12</v>
      </c>
      <c r="AG1" s="11" t="s">
        <v>42</v>
      </c>
    </row>
    <row r="2" spans="1:34" ht="25" customHeight="1" x14ac:dyDescent="0.2">
      <c r="A2" s="11"/>
      <c r="B2" s="11"/>
      <c r="C2" s="11"/>
      <c r="D2" s="11"/>
      <c r="I2" s="5"/>
      <c r="J2" s="5"/>
      <c r="K2" s="5"/>
      <c r="L2" s="5"/>
      <c r="M2" s="5"/>
      <c r="N2" s="5"/>
      <c r="O2" s="5"/>
      <c r="P2" s="24" t="s">
        <v>26</v>
      </c>
      <c r="Q2" s="25"/>
      <c r="R2" s="25"/>
      <c r="S2" s="25"/>
      <c r="T2" s="26"/>
      <c r="U2" s="24" t="s">
        <v>27</v>
      </c>
      <c r="V2" s="25"/>
      <c r="W2" s="25"/>
      <c r="X2" s="25"/>
      <c r="Y2" s="26"/>
      <c r="Z2" s="15"/>
      <c r="AA2" s="16"/>
      <c r="AB2" s="16"/>
      <c r="AC2" s="16"/>
      <c r="AD2" s="16"/>
      <c r="AE2" s="16"/>
      <c r="AF2" s="18"/>
      <c r="AG2" s="11"/>
    </row>
    <row r="3" spans="1:34" ht="25" customHeight="1" x14ac:dyDescent="0.2">
      <c r="A3" s="8" t="s">
        <v>0</v>
      </c>
      <c r="B3" s="8" t="s">
        <v>23</v>
      </c>
      <c r="C3" s="8" t="s">
        <v>11</v>
      </c>
      <c r="D3" s="8" t="s">
        <v>24</v>
      </c>
      <c r="E3" s="3" t="s">
        <v>1</v>
      </c>
      <c r="F3" s="3" t="s">
        <v>50</v>
      </c>
      <c r="G3" s="3" t="s">
        <v>51</v>
      </c>
      <c r="H3" s="3" t="s">
        <v>22</v>
      </c>
      <c r="I3" s="20" t="s">
        <v>17</v>
      </c>
      <c r="J3" s="20"/>
      <c r="K3" s="20"/>
      <c r="L3" s="4" t="s">
        <v>19</v>
      </c>
      <c r="M3" s="3" t="s">
        <v>14</v>
      </c>
      <c r="N3" s="3" t="s">
        <v>15</v>
      </c>
      <c r="O3" s="3" t="s">
        <v>16</v>
      </c>
      <c r="P3" s="6" t="s">
        <v>29</v>
      </c>
      <c r="Q3" s="6" t="s">
        <v>7</v>
      </c>
      <c r="R3" s="6" t="s">
        <v>28</v>
      </c>
      <c r="S3" s="6" t="s">
        <v>35</v>
      </c>
      <c r="T3" s="6" t="s">
        <v>33</v>
      </c>
      <c r="U3" s="6" t="s">
        <v>29</v>
      </c>
      <c r="V3" s="6" t="s">
        <v>7</v>
      </c>
      <c r="W3" s="6" t="s">
        <v>28</v>
      </c>
      <c r="X3" s="6" t="s">
        <v>35</v>
      </c>
      <c r="Y3" s="6" t="s">
        <v>33</v>
      </c>
      <c r="Z3" s="3" t="s">
        <v>2</v>
      </c>
      <c r="AA3" s="3" t="s">
        <v>4</v>
      </c>
      <c r="AB3" s="3" t="s">
        <v>6</v>
      </c>
      <c r="AC3" s="3" t="s">
        <v>7</v>
      </c>
      <c r="AD3" s="3" t="s">
        <v>8</v>
      </c>
      <c r="AE3" s="3" t="s">
        <v>28</v>
      </c>
      <c r="AF3" s="19"/>
      <c r="AG3" s="11"/>
    </row>
    <row r="4" spans="1:34" ht="25" customHeight="1" x14ac:dyDescent="0.2">
      <c r="A4" s="12" t="s">
        <v>3</v>
      </c>
      <c r="B4" s="10" t="s">
        <v>10</v>
      </c>
      <c r="C4" s="10">
        <v>0</v>
      </c>
      <c r="D4" s="10">
        <v>1</v>
      </c>
      <c r="E4">
        <v>1</v>
      </c>
      <c r="H4">
        <v>4</v>
      </c>
      <c r="I4">
        <v>1039803.2304999999</v>
      </c>
      <c r="J4">
        <v>1059254.9819159999</v>
      </c>
      <c r="L4">
        <f>AVERAGE(I4:K4)/1000</f>
        <v>1049.5291062079998</v>
      </c>
      <c r="M4">
        <v>157404</v>
      </c>
      <c r="N4">
        <v>0.24999978318660601</v>
      </c>
      <c r="O4">
        <v>8514499</v>
      </c>
      <c r="P4" t="b">
        <v>1</v>
      </c>
      <c r="Q4">
        <v>0.47178008733537902</v>
      </c>
      <c r="U4" t="b">
        <v>1</v>
      </c>
      <c r="V4">
        <v>0.47417129109416301</v>
      </c>
      <c r="AA4" s="12" t="s">
        <v>5</v>
      </c>
      <c r="AB4" t="b">
        <v>1</v>
      </c>
      <c r="AD4">
        <v>0.47415949683118802</v>
      </c>
    </row>
    <row r="5" spans="1:34" ht="25" customHeight="1" x14ac:dyDescent="0.2">
      <c r="A5" s="12"/>
      <c r="B5" s="10"/>
      <c r="C5" s="10"/>
      <c r="D5" s="10"/>
      <c r="E5">
        <v>2</v>
      </c>
      <c r="I5">
        <v>901608.65429199999</v>
      </c>
      <c r="J5">
        <v>1437102.701541</v>
      </c>
      <c r="K5">
        <v>857905.32512499997</v>
      </c>
      <c r="L5">
        <f>AVERAGE(I5:K5)/1000</f>
        <v>1065.5388936526665</v>
      </c>
      <c r="M5" s="1">
        <v>309245</v>
      </c>
      <c r="N5" s="1">
        <v>0.12499993408928201</v>
      </c>
      <c r="O5" s="1">
        <v>10904414</v>
      </c>
      <c r="P5" s="1" t="b">
        <v>1</v>
      </c>
      <c r="Q5" s="1">
        <v>34.257217774502003</v>
      </c>
      <c r="R5" s="1"/>
      <c r="S5" s="1"/>
      <c r="T5" s="1"/>
      <c r="U5" s="1"/>
      <c r="V5" s="1">
        <v>34.257217774502003</v>
      </c>
      <c r="W5" s="1"/>
      <c r="X5" s="1"/>
      <c r="Y5" s="1"/>
      <c r="Z5" s="1"/>
      <c r="AA5" s="12"/>
      <c r="AB5" t="b">
        <v>1</v>
      </c>
      <c r="AC5" s="1" t="s">
        <v>9</v>
      </c>
      <c r="AD5">
        <v>34.299999999999997</v>
      </c>
      <c r="AF5" s="2" t="s">
        <v>13</v>
      </c>
    </row>
    <row r="6" spans="1:34" ht="25" customHeight="1" x14ac:dyDescent="0.2">
      <c r="A6" s="12"/>
      <c r="B6" s="10"/>
      <c r="C6" s="10"/>
      <c r="D6" s="10"/>
      <c r="E6">
        <v>3</v>
      </c>
      <c r="H6">
        <v>4</v>
      </c>
      <c r="I6">
        <v>1021007.748375</v>
      </c>
      <c r="L6">
        <f t="shared" ref="L6:L8" si="0">AVERAGE(I6:K6)/1000</f>
        <v>1021.007748375</v>
      </c>
      <c r="M6">
        <v>157404</v>
      </c>
      <c r="N6">
        <v>0.24999978318660601</v>
      </c>
      <c r="O6">
        <v>8514499</v>
      </c>
      <c r="P6" s="1" t="b">
        <v>1</v>
      </c>
      <c r="Q6">
        <v>1</v>
      </c>
      <c r="U6" t="b">
        <v>1</v>
      </c>
      <c r="V6">
        <v>1</v>
      </c>
      <c r="AA6" s="12"/>
      <c r="AF6" s="1" t="s">
        <v>43</v>
      </c>
      <c r="AG6" s="1" t="s">
        <v>45</v>
      </c>
      <c r="AH6" s="1" t="s">
        <v>44</v>
      </c>
    </row>
    <row r="7" spans="1:34" ht="25" customHeight="1" x14ac:dyDescent="0.2">
      <c r="A7" s="12"/>
      <c r="B7" s="10"/>
      <c r="C7" s="10"/>
      <c r="D7" s="10"/>
      <c r="E7">
        <v>4</v>
      </c>
      <c r="H7">
        <v>4</v>
      </c>
      <c r="I7">
        <v>4419737.1001249999</v>
      </c>
      <c r="L7">
        <f t="shared" si="0"/>
        <v>4419.7371001250003</v>
      </c>
      <c r="M7">
        <v>610332</v>
      </c>
      <c r="N7">
        <v>0.124999986476955</v>
      </c>
      <c r="O7">
        <v>36440064</v>
      </c>
      <c r="P7" s="1" t="b">
        <v>1</v>
      </c>
      <c r="Q7">
        <v>62.942359082339998</v>
      </c>
      <c r="R7" t="s">
        <v>39</v>
      </c>
      <c r="U7" t="b">
        <v>1</v>
      </c>
      <c r="V7">
        <v>64.037710267616006</v>
      </c>
      <c r="W7" t="s">
        <v>39</v>
      </c>
      <c r="AA7" s="12"/>
      <c r="AB7" t="b">
        <v>1</v>
      </c>
      <c r="AC7" t="s">
        <v>40</v>
      </c>
      <c r="AD7">
        <v>63.998787772043997</v>
      </c>
      <c r="AE7" t="s">
        <v>39</v>
      </c>
      <c r="AF7" s="1" t="s">
        <v>41</v>
      </c>
    </row>
    <row r="8" spans="1:34" ht="25" customHeight="1" x14ac:dyDescent="0.2">
      <c r="A8" s="12" t="s">
        <v>20</v>
      </c>
      <c r="B8" s="10" t="s">
        <v>21</v>
      </c>
      <c r="C8" s="1"/>
      <c r="D8" s="1">
        <v>1</v>
      </c>
      <c r="E8">
        <v>1</v>
      </c>
      <c r="H8">
        <v>3</v>
      </c>
      <c r="I8">
        <v>7111.4561670000003</v>
      </c>
      <c r="J8">
        <v>7722.7123339999998</v>
      </c>
      <c r="L8">
        <f t="shared" si="0"/>
        <v>7.4170842505000003</v>
      </c>
      <c r="M8">
        <v>2298</v>
      </c>
      <c r="N8">
        <v>0.124993330872935</v>
      </c>
      <c r="O8">
        <v>80666</v>
      </c>
      <c r="P8" t="b">
        <v>1</v>
      </c>
      <c r="Q8">
        <v>1</v>
      </c>
      <c r="R8" t="s">
        <v>30</v>
      </c>
      <c r="T8">
        <v>0</v>
      </c>
      <c r="U8" t="b">
        <v>1</v>
      </c>
      <c r="V8">
        <v>1</v>
      </c>
      <c r="W8" t="s">
        <v>30</v>
      </c>
      <c r="Y8">
        <v>0</v>
      </c>
      <c r="Z8">
        <v>1</v>
      </c>
      <c r="AA8" t="s">
        <v>5</v>
      </c>
      <c r="AB8" t="b">
        <v>1</v>
      </c>
      <c r="AC8" t="s">
        <v>32</v>
      </c>
      <c r="AD8">
        <v>1</v>
      </c>
      <c r="AF8" s="1" t="s">
        <v>25</v>
      </c>
    </row>
    <row r="9" spans="1:34" ht="25" customHeight="1" x14ac:dyDescent="0.2">
      <c r="A9" s="12"/>
      <c r="B9" s="10"/>
      <c r="E9">
        <v>2</v>
      </c>
      <c r="I9">
        <v>2440.3157500000002</v>
      </c>
      <c r="M9">
        <v>1077</v>
      </c>
      <c r="N9">
        <v>0.12498488928567</v>
      </c>
      <c r="O9">
        <v>14152</v>
      </c>
      <c r="P9" t="b">
        <v>1</v>
      </c>
      <c r="Q9">
        <v>1</v>
      </c>
      <c r="Z9">
        <v>1</v>
      </c>
      <c r="AA9" t="s">
        <v>5</v>
      </c>
      <c r="AB9" t="b">
        <v>1</v>
      </c>
      <c r="AC9" t="s">
        <v>32</v>
      </c>
      <c r="AD9">
        <v>1</v>
      </c>
      <c r="AF9" s="1" t="s">
        <v>36</v>
      </c>
    </row>
    <row r="10" spans="1:34" ht="25" customHeight="1" x14ac:dyDescent="0.2">
      <c r="A10" s="12"/>
      <c r="B10" s="10"/>
      <c r="E10">
        <v>3</v>
      </c>
      <c r="I10">
        <v>2613.098375</v>
      </c>
      <c r="M10">
        <v>1077</v>
      </c>
      <c r="N10">
        <v>0.12498488928567</v>
      </c>
      <c r="O10">
        <v>14152</v>
      </c>
      <c r="P10" t="b">
        <v>1</v>
      </c>
      <c r="Q10">
        <v>1.7594916368260001</v>
      </c>
      <c r="U10" t="b">
        <v>1</v>
      </c>
      <c r="V10">
        <v>1.799959738878</v>
      </c>
      <c r="AA10" t="s">
        <v>5</v>
      </c>
      <c r="AC10" t="s">
        <v>34</v>
      </c>
      <c r="AD10">
        <v>1.8</v>
      </c>
      <c r="AF10" s="1" t="s">
        <v>36</v>
      </c>
    </row>
    <row r="11" spans="1:34" ht="25" customHeight="1" x14ac:dyDescent="0.2">
      <c r="A11" s="12"/>
      <c r="B11" s="10"/>
      <c r="E11">
        <v>4</v>
      </c>
      <c r="H11">
        <v>3</v>
      </c>
      <c r="I11">
        <v>7679.9757079999999</v>
      </c>
      <c r="M11">
        <v>2298</v>
      </c>
      <c r="N11">
        <v>0.124993330872935</v>
      </c>
      <c r="O11">
        <v>80666</v>
      </c>
      <c r="P11" t="b">
        <v>0</v>
      </c>
      <c r="Q11" t="s">
        <v>37</v>
      </c>
      <c r="U11" t="b">
        <v>0</v>
      </c>
      <c r="V11" t="s">
        <v>37</v>
      </c>
      <c r="AB11" t="b">
        <v>0</v>
      </c>
      <c r="AC11" t="s">
        <v>37</v>
      </c>
      <c r="AF11" s="1" t="s">
        <v>25</v>
      </c>
    </row>
    <row r="12" spans="1:34" ht="25" customHeight="1" x14ac:dyDescent="0.2">
      <c r="E12">
        <v>5</v>
      </c>
    </row>
    <row r="13" spans="1:34" ht="25" customHeight="1" x14ac:dyDescent="0.2">
      <c r="C13" s="7">
        <v>1.0000000000287499E-6</v>
      </c>
      <c r="E13">
        <v>6</v>
      </c>
      <c r="H13">
        <v>3</v>
      </c>
      <c r="AF13" s="1" t="s">
        <v>46</v>
      </c>
    </row>
    <row r="16" spans="1:34" ht="25" customHeight="1" x14ac:dyDescent="0.2">
      <c r="A16" s="9" t="s">
        <v>47</v>
      </c>
      <c r="B16" s="10" t="s">
        <v>48</v>
      </c>
      <c r="C16" s="12">
        <v>1</v>
      </c>
      <c r="D16" s="12">
        <v>1</v>
      </c>
      <c r="E16" t="s">
        <v>53</v>
      </c>
      <c r="F16">
        <v>0.1</v>
      </c>
      <c r="G16">
        <v>0.05</v>
      </c>
      <c r="H16">
        <v>3</v>
      </c>
      <c r="I16">
        <v>41102.628333000001</v>
      </c>
      <c r="M16">
        <v>153416</v>
      </c>
      <c r="N16">
        <v>4.9999926606190501E-2</v>
      </c>
      <c r="O16">
        <v>579269</v>
      </c>
      <c r="P16" t="b">
        <v>1</v>
      </c>
      <c r="Q16">
        <v>0.99900099900598904</v>
      </c>
      <c r="R16" t="s">
        <v>30</v>
      </c>
      <c r="S16">
        <v>1</v>
      </c>
      <c r="T16" s="7">
        <v>9.990009940109559E-4</v>
      </c>
      <c r="U16" t="b">
        <v>1</v>
      </c>
      <c r="V16">
        <v>0.99900099900598904</v>
      </c>
      <c r="W16" t="s">
        <v>30</v>
      </c>
      <c r="X16">
        <v>1</v>
      </c>
      <c r="Y16" s="7">
        <v>9.990009940109559E-4</v>
      </c>
      <c r="Z16">
        <v>0.99900099900598904</v>
      </c>
      <c r="AE16" t="s">
        <v>52</v>
      </c>
      <c r="AF16" s="1" t="s">
        <v>49</v>
      </c>
      <c r="AG16" s="1" t="s">
        <v>57</v>
      </c>
    </row>
    <row r="17" spans="1:32" ht="25" customHeight="1" x14ac:dyDescent="0.2">
      <c r="A17" s="9"/>
      <c r="B17" s="10"/>
      <c r="C17" s="12"/>
      <c r="D17" s="12"/>
      <c r="E17" t="s">
        <v>54</v>
      </c>
      <c r="F17">
        <v>0.1</v>
      </c>
      <c r="G17">
        <v>0.05</v>
      </c>
      <c r="H17">
        <v>3</v>
      </c>
      <c r="I17">
        <v>178386.926125</v>
      </c>
      <c r="M17">
        <v>602596</v>
      </c>
      <c r="N17">
        <v>2.4999984944146701E-2</v>
      </c>
      <c r="O17">
        <v>2506947</v>
      </c>
      <c r="P17" t="b">
        <v>1</v>
      </c>
      <c r="Q17">
        <v>0</v>
      </c>
      <c r="R17" t="s">
        <v>30</v>
      </c>
      <c r="S17">
        <v>0</v>
      </c>
      <c r="T17">
        <v>0</v>
      </c>
      <c r="U17" t="b">
        <v>1</v>
      </c>
      <c r="V17">
        <v>0</v>
      </c>
      <c r="W17" t="s">
        <v>30</v>
      </c>
      <c r="X17">
        <v>0</v>
      </c>
      <c r="Y17">
        <v>0</v>
      </c>
      <c r="Z17">
        <v>0</v>
      </c>
      <c r="AC17" t="s">
        <v>56</v>
      </c>
      <c r="AD17">
        <v>0</v>
      </c>
      <c r="AE17" t="s">
        <v>30</v>
      </c>
      <c r="AF17" s="1" t="s">
        <v>55</v>
      </c>
    </row>
    <row r="24" spans="1:32" ht="25" customHeight="1" x14ac:dyDescent="0.2">
      <c r="AF24" cm="1">
        <f t="array" aca="1" ref="AF24" ca="1">+AF5:AF24</f>
        <v>0</v>
      </c>
    </row>
  </sheetData>
  <mergeCells count="19">
    <mergeCell ref="AG1:AG3"/>
    <mergeCell ref="Z1:AE2"/>
    <mergeCell ref="AF1:AF3"/>
    <mergeCell ref="A8:A11"/>
    <mergeCell ref="B8:B11"/>
    <mergeCell ref="C4:C7"/>
    <mergeCell ref="AA4:AA7"/>
    <mergeCell ref="A4:A7"/>
    <mergeCell ref="B4:B7"/>
    <mergeCell ref="I3:K3"/>
    <mergeCell ref="I1:Y1"/>
    <mergeCell ref="P2:T2"/>
    <mergeCell ref="U2:Y2"/>
    <mergeCell ref="A16:A17"/>
    <mergeCell ref="B16:B17"/>
    <mergeCell ref="A1:D2"/>
    <mergeCell ref="D4:D7"/>
    <mergeCell ref="C16:C17"/>
    <mergeCell ref="D16:D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benchmarks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He</dc:creator>
  <cp:lastModifiedBy>Microsoft Office User</cp:lastModifiedBy>
  <dcterms:created xsi:type="dcterms:W3CDTF">2026-04-25T15:57:39Z</dcterms:created>
  <dcterms:modified xsi:type="dcterms:W3CDTF">2026-04-28T12:16:05Z</dcterms:modified>
</cp:coreProperties>
</file>