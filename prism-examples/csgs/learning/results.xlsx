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/Desktop/prism-games/prism-examples/csgs/learning/"/>
    </mc:Choice>
  </mc:AlternateContent>
  <xr:revisionPtr revIDLastSave="0" documentId="13_ncr:1_{A5B653B4-2EE8-554B-A309-54711AC393A4}" xr6:coauthVersionLast="47" xr6:coauthVersionMax="47" xr10:uidLastSave="{00000000-0000-0000-0000-000000000000}"/>
  <bookViews>
    <workbookView xWindow="0" yWindow="600" windowWidth="38400" windowHeight="21000" xr2:uid="{10DC5DE2-A7EE-4E41-A7E1-52FAA6DC5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7" i="1"/>
  <c r="J8" i="1"/>
  <c r="J4" i="1"/>
  <c r="J5" i="1"/>
  <c r="AD24" i="1"/>
  <c r="AD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<sst xmlns="http://schemas.openxmlformats.org/spreadsheetml/2006/main" count="65" uniqueCount="47">
  <si>
    <t>Example</t>
  </si>
  <si>
    <t>Property</t>
  </si>
  <si>
    <t>True value</t>
  </si>
  <si>
    <t>Max/avg (actions): (2,2)/(2.00,2.00)
Starting bounded equilibria computation (solver=Yices 2.6.4)...
Precomputation took 0.0 seconds.
Coalition results (initial state): (17.15,17.15)
True value: SolveOutcome{found=true, value=34.3}</t>
  </si>
  <si>
    <t>safe risky</t>
  </si>
  <si>
    <t>Max/avg (actions)</t>
  </si>
  <si>
    <t>(2,2)/(2.00,2.00)</t>
  </si>
  <si>
    <t>found</t>
  </si>
  <si>
    <t>value</t>
  </si>
  <si>
    <t>SW</t>
  </si>
  <si>
    <t>(17.15, 17.15)</t>
  </si>
  <si>
    <t>Players:     2
States:      4 (1 initial)
Transitions: 28
Choices:     16
Max/avg:     4/4.00</t>
  </si>
  <si>
    <t>p_reach</t>
  </si>
  <si>
    <t>log</t>
  </si>
  <si>
    <t>Episode 1: Resolving exploration RMDP
Slot (0,1) is now known. Remaining unknown slots: 15
Episode 112210: Resolving exploration RMDP
Slot (0,2) is now known. Remaining unknown slots: 14
Episode 112251: Resolving exploration RMDP
Slot (0,0) is now known. Remaining unknown slots: 13
Episode 112296: Resolving exploration RMDP
Slot (0,3) is now known. Remaining unknown slots: 12
Episode 112301: Resolving exploration RMDP
Slot (1,1) is now known. Remaining unknown slots: 11
Episode 141739: Resolving exploration RMDP
Slot (1,0) is now known. Remaining unknown slots: 10
Episode 141813: Resolving exploration RMDP
Slot (1,3) is now known. Remaining unknown slots: 9
Episode 141839: Resolving exploration RMDP
Slot (1,2) is now known. Remaining unknown slots: 8
Episode 141851: Resolving exploration RMDP
Slot (3,3) is now known. Remaining unknown slots: 7
Episode 210668: Resolving exploration RMDP
Slot (3,2) is now known. Remaining unknown slots: 6
Episode 210676: Resolving exploration RMDP
Slot (3,0) is now known. Remaining unknown slots: 5
Episode 210684: Resolving exploration RMDP
Slot (3,1) is now known. Remaining unknown slots: 4
Episode 210809: Resolving exploration RMDP</t>
  </si>
  <si>
    <t>episodes</t>
  </si>
  <si>
    <t>deltaT</t>
  </si>
  <si>
    <t>nMin</t>
  </si>
  <si>
    <t>Execution time (ms)</t>
  </si>
  <si>
    <t>Empirical</t>
  </si>
  <si>
    <t>Avg time (s)</t>
  </si>
  <si>
    <t>very_simple</t>
  </si>
  <si>
    <t>Players:     2
States:      3 (1 initial)
Transitions: 15
Choices:     12
Max/avg:     4/4.00</t>
  </si>
  <si>
    <t>effHorizon</t>
  </si>
  <si>
    <t>CSG info</t>
  </si>
  <si>
    <t>p_stop</t>
  </si>
  <si>
    <t>Slot (0,1) is now known. Remaining unknown slots: 11
Episode 1576: Resolving exploration RMDP
Slot (0,2) is now known. Remaining unknown slots: 10
Episode 1578: Resolving exploration RMDP
Slot (0,3) is now known. Remaining unknown slots: 9
Episode 1579: Resolving exploration RMDP
Slot (0,0) is now known. Remaining unknown slots: 8
Episode 1584: Resolving exploration RMDP
Slot (2,0) is now known. Remaining unknown slots: 7
Episode 1654: Resolving exploration RMDP
Slot (2,2) is now known. Remaining unknown slots: 6
Episode 1669: Resolving exploration RMDP
Slot (2,1) is now known. Remaining unknown slots: 5
Episode 1671: Resolving exploration RMDP
Slot (2,3) is now known. Remaining unknown slots: 4
Episode 1672: Resolving exploration RMDP</t>
  </si>
  <si>
    <t>Robust</t>
  </si>
  <si>
    <t>Point</t>
  </si>
  <si>
    <t>strategy</t>
  </si>
  <si>
    <t>foundNE</t>
  </si>
  <si>
    <t>CSG: $ s:0 -&gt;  $ s:1 -&gt;  $ s:2 -&gt;</t>
  </si>
  <si>
    <t>True CSG</t>
  </si>
  <si>
    <t>(0.0,1.0)</t>
  </si>
  <si>
    <t>dev gain</t>
  </si>
  <si>
    <t>(0.9,0.9)</t>
  </si>
  <si>
    <t>true value</t>
  </si>
  <si>
    <t>Slot (0,1) is now known. Remaining unknown slots: 11
Episode 341: Resolving exploration RMDP
Slot (0,0) is now known. Remaining unknown slots: 10
Episode 346: Resolving exploration RMDP
Slot (0,3) is now known. Remaining unknown slots: 9
Episode 347: Resolving exploration RMDP
Slot (0,2) is now known. Remaining unknown slots: 8
Episode 351: Resolving exploration RMDP
Slot (2,0) is now known. Remaining unknown slots: 7
Episode 819: Resolving exploration RMDP
Slot (2,2) is now known. Remaining unknown slots: 6
Episode 820: Resolving exploration RMDP
Slot (2,1) is now known. Remaining unknown slots: 5
Episode 825: Resolving exploration RMDP
Slot (2,3) is now known. Remaining unknown slots: 4
Episode 827: Resolving exploration RMDP</t>
  </si>
  <si>
    <t>NaN</t>
  </si>
  <si>
    <t>General</t>
  </si>
  <si>
    <t>CSG: $ s:0 -&gt;  $ s:1 -&gt;  $ s:2 -&gt;  $ s:3 -&gt;</t>
  </si>
  <si>
    <t>(31.999393886022,31.999393886022)</t>
  </si>
  <si>
    <t>Slot (1,1) is now known. Remaining unknown slots: 15
Episode 269021: Resolving exploration RMDP
Slot (1,2) is now known. Remaining unknown slots: 14
Episode 269030: Resolving exploration RMDP
Slot (1,3) is now known. Remaining unknown slots: 13
Episode 269051: Resolving exploration RMDP
Slot (1,0) is now known. Remaining unknown slots: 12
Episode 269067: Resolving exploration RMDP
Slot (0,2) is now known. Remaining unknown slots: 11
Episode 367960: Resolving exploration RMDP
Slot (0,3) is now known. Remaining unknown slots: 10
Episode 368018: Resolving exploration RMDP
Slot (0,0) is now known. Remaining unknown slots: 9
Episode 368020: Resolving exploration RMDP
Slot (0,1) is now known. Remaining unknown slots: 8
Episode 368131: Resolving exploration RMDP
Slot (3,1) is now known. Remaining unknown slots: 7
Episode 426800: Resolving exploration RMDP
Slot (3,2) is now known. Remaining unknown slots: 6
Episode 426869: Resolving exploration RMDP
Slot (3,3) is now known. Remaining unknown slots: 5
Episode 426898: Resolving exploration RMDP
Slot (3,0) is now known. Remaining unknown slots: 4
Episode 426964: Resolving exploration RMDP
Max/avg (actions): (2,2)/(2.00,2.00)
Starting equilibria computation (solver=Yices 2.6.4)...
Checking whether all objectives are reachable...
Value iteration converged after 212 iterations.
Precomputation took 0.002 seconds.
Coalition results (initial state): (31.999393886022,31.999393886022)
True SolveOutcome{found = true, value = 63.998787772044, strategy = CSG: $ s:0 -&gt;  $ s:1 -&gt;  $ s:2 -&gt;  $ s:3 -&gt; }
---------------------------------------
Starting expected reachability...
target=3, inf=0, rest=1
Starting value iteration (with Jacobi) ...
Expected reachability took 0.0 seconds.
True value of returned strategy: 0.0</t>
  </si>
  <si>
    <t>Notes</t>
  </si>
  <si>
    <t>Slot (1,0) is now known. Remaining unknown slots: 15
Episode 70083: Resolving exploration RMDP
Slot (1,1) is now known. Remaining unknown slots: 14
Episode 70087: Resolving exploration RMDP
Slot (1,2) is now known. Remaining unknown slots: 13
Episode 70091: Resolving exploration RMDP
Slot (1,3) is now known. Remaining unknown slots: 12
Episode 70109: Resolving exploration RMDP
Slot (0,1) is now known. Remaining unknown slots: 11
Episode 95616: Resolving exploration RMDP
Slot (0,3) is now known. Remaining unknown slots: 10
Episode 95680: Resolving exploration RMDP
Slot (0,2) is now known. Remaining unknown slots: 9
Episode 95689: Resolving exploration RMDP
Slot (0,0) is now known. Remaining unknown slots: 8
Episode 95702: Resolving exploration RMDP
Slot (3,1) is now known. Remaining unknown slots: 7
Episode 110822: Resolving exploration RMDP
Slot (3,2) is now known. Remaining unknown slots: 6
Episode 110872: Resolving exploration RMDP
Slot (3,3) is now known. Remaining unknown slots: 5
Episode 110887: Resolving exploration RMDP
Slot (3,0) is now known. Remaining unknown slots: 4
Episode 110896: Resolving exploration RMDP</t>
  </si>
  <si>
    <t>Type:        CSG
Players:     2
States:      4 (1 initial)
Transitions: 28
Choices:     16
Max/avg:     4/4.00
Max/avg (actions): (2,2)/(2.00,2.00)
Max/avg (actions): (2,2)/(2.00,2.00)
Disabling Prob1 precomputation to allow strategy generation
Value iteration converged after 1 iterations.
Max/avg (actions): (2,2)/(2.00,2.00)
Max/avg (actions): (2,2)/(2.00,2.00)
Disabling Prob1 precomputation to allow strategy generation
Value iteration converged after 21 iterations.
Stopping probability: 1.0
Effective horizon: 4
Lower bound on reachability probability: 0.0
...
Episode 110896: Resolving exploration RMDP
Max/avg (actions): (2,2)/(2.00,2.00)
Max/avg (actions): (2,2)/(2.00,2.00)
Disabling Prob1 precomputation to allow strategy generation
Exception raised by lpSolve when computing value for state 3. lpSolve status: NUMERIC FAILURE encountered
Rounding up entries...
Max/avg (actions): (2,2)/(2.00,2.00)
Max/avg (actions): (2,2)/(2.00,2.00)
Disabling Prob1 precomputation to allow strategy generation
Exception raised by lpSolve when computing value for state 3. lpSolve status: NUMERIC FAILURE encountered
Rounding up entries...
Exception in thread "main" Error: No NE found but zero-sum property should always have an NE.
	at learning.PACLearner.runPacLoop(PACLearner.java:134)
	at learning.PACLearner.runPacLoop(PACLearner.java:78)
	at learning.PACLearner.main(PACLearner.java:474)</t>
  </si>
  <si>
    <t>Must disable genStrat to allow Prob1 precomputation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</si>
</sst>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0" applyFont="1" applyFill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775A-F2BD-D047-9A45-BFBAABA6B630}">
  <dimension ref="A1:AF24"/>
  <sheetViews>
    <sheetView tabSelected="1" topLeftCell="D1" zoomScaleNormal="100" workbookViewId="0">
      <selection activeCell="O9" sqref="O9"/>
    </sheetView>
  </sheetViews>
  <sheetFormatPr baseColWidth="10" defaultRowHeight="25" customHeight="1" x14ac:dyDescent="0.2"/>
  <cols>
    <col min="30" max="30" width="10.83203125" customWidth="1"/>
  </cols>
  <sheetData>
    <row r="1" spans="1:32" ht="25" customHeight="1" x14ac:dyDescent="0.2">
      <c r="A1" s="10" t="s">
        <v>39</v>
      </c>
      <c r="B1" s="10"/>
      <c r="C1" s="10"/>
      <c r="G1" s="12" t="s">
        <v>19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8" t="s">
        <v>32</v>
      </c>
      <c r="Y1" s="19"/>
      <c r="Z1" s="19"/>
      <c r="AA1" s="19"/>
      <c r="AB1" s="19"/>
      <c r="AC1" s="19"/>
      <c r="AD1" s="22" t="s">
        <v>13</v>
      </c>
      <c r="AE1" s="10" t="s">
        <v>43</v>
      </c>
    </row>
    <row r="2" spans="1:32" ht="25" customHeight="1" x14ac:dyDescent="0.2">
      <c r="A2" s="10"/>
      <c r="B2" s="10"/>
      <c r="C2" s="10"/>
      <c r="G2" s="9"/>
      <c r="H2" s="9"/>
      <c r="I2" s="9"/>
      <c r="J2" s="9"/>
      <c r="K2" s="9"/>
      <c r="L2" s="9"/>
      <c r="M2" s="9"/>
      <c r="N2" s="15" t="s">
        <v>27</v>
      </c>
      <c r="O2" s="16"/>
      <c r="P2" s="16"/>
      <c r="Q2" s="16"/>
      <c r="R2" s="17"/>
      <c r="S2" s="15" t="s">
        <v>28</v>
      </c>
      <c r="T2" s="16"/>
      <c r="U2" s="16"/>
      <c r="V2" s="16"/>
      <c r="W2" s="17"/>
      <c r="X2" s="20"/>
      <c r="Y2" s="21"/>
      <c r="Z2" s="21"/>
      <c r="AA2" s="21"/>
      <c r="AB2" s="21"/>
      <c r="AC2" s="21"/>
      <c r="AD2" s="23"/>
      <c r="AE2" s="10"/>
    </row>
    <row r="3" spans="1:32" ht="25" customHeight="1" x14ac:dyDescent="0.2">
      <c r="A3" s="6" t="s">
        <v>0</v>
      </c>
      <c r="B3" s="6" t="s">
        <v>24</v>
      </c>
      <c r="C3" s="6" t="s">
        <v>12</v>
      </c>
      <c r="D3" s="6" t="s">
        <v>25</v>
      </c>
      <c r="E3" s="6" t="s">
        <v>1</v>
      </c>
      <c r="F3" s="6" t="s">
        <v>23</v>
      </c>
      <c r="G3" s="7" t="s">
        <v>18</v>
      </c>
      <c r="H3" s="7"/>
      <c r="I3" s="7"/>
      <c r="J3" s="8" t="s">
        <v>20</v>
      </c>
      <c r="K3" s="6" t="s">
        <v>15</v>
      </c>
      <c r="L3" s="6" t="s">
        <v>16</v>
      </c>
      <c r="M3" s="6" t="s">
        <v>17</v>
      </c>
      <c r="N3" s="11" t="s">
        <v>30</v>
      </c>
      <c r="O3" s="11" t="s">
        <v>8</v>
      </c>
      <c r="P3" s="11" t="s">
        <v>29</v>
      </c>
      <c r="Q3" s="11" t="s">
        <v>36</v>
      </c>
      <c r="R3" s="11" t="s">
        <v>34</v>
      </c>
      <c r="S3" s="11" t="s">
        <v>30</v>
      </c>
      <c r="T3" s="11" t="s">
        <v>8</v>
      </c>
      <c r="U3" s="11" t="s">
        <v>29</v>
      </c>
      <c r="V3" s="11" t="s">
        <v>36</v>
      </c>
      <c r="W3" s="11" t="s">
        <v>34</v>
      </c>
      <c r="X3" s="6" t="s">
        <v>2</v>
      </c>
      <c r="Y3" s="6" t="s">
        <v>5</v>
      </c>
      <c r="Z3" s="6" t="s">
        <v>7</v>
      </c>
      <c r="AA3" s="6" t="s">
        <v>8</v>
      </c>
      <c r="AB3" s="6" t="s">
        <v>9</v>
      </c>
      <c r="AC3" s="6" t="s">
        <v>29</v>
      </c>
      <c r="AD3" s="24"/>
      <c r="AE3" s="10"/>
    </row>
    <row r="4" spans="1:32" ht="25" customHeight="1" x14ac:dyDescent="0.2">
      <c r="A4" s="4" t="s">
        <v>4</v>
      </c>
      <c r="B4" s="5" t="s">
        <v>11</v>
      </c>
      <c r="C4" s="5">
        <v>0</v>
      </c>
      <c r="D4" s="2">
        <v>1</v>
      </c>
      <c r="E4">
        <v>1</v>
      </c>
      <c r="F4">
        <v>4</v>
      </c>
      <c r="G4">
        <v>1039803.2304999999</v>
      </c>
      <c r="H4">
        <v>1059254.9819159999</v>
      </c>
      <c r="J4">
        <f>AVERAGE(G4:I4)/1000</f>
        <v>1049.5291062079998</v>
      </c>
      <c r="K4">
        <v>157404</v>
      </c>
      <c r="L4">
        <v>0.24999978318660601</v>
      </c>
      <c r="M4">
        <v>8514499</v>
      </c>
      <c r="N4" t="b">
        <v>1</v>
      </c>
      <c r="O4">
        <v>0.47178008733537902</v>
      </c>
      <c r="S4" t="b">
        <v>1</v>
      </c>
      <c r="T4">
        <v>0.47417129109416301</v>
      </c>
      <c r="Y4" s="4" t="s">
        <v>6</v>
      </c>
      <c r="Z4" t="b">
        <v>1</v>
      </c>
      <c r="AB4">
        <v>0.47415949683118802</v>
      </c>
    </row>
    <row r="5" spans="1:32" ht="25" customHeight="1" x14ac:dyDescent="0.2">
      <c r="A5" s="4"/>
      <c r="B5" s="5"/>
      <c r="C5" s="5"/>
      <c r="D5" s="2"/>
      <c r="E5">
        <v>2</v>
      </c>
      <c r="G5">
        <v>901608.65429199999</v>
      </c>
      <c r="H5">
        <v>1437102.701541</v>
      </c>
      <c r="I5">
        <v>857905.32512499997</v>
      </c>
      <c r="J5">
        <f>AVERAGE(G5:I5)/1000</f>
        <v>1065.5388936526665</v>
      </c>
      <c r="K5" s="1">
        <v>309245</v>
      </c>
      <c r="L5" s="1">
        <v>0.12499993408928201</v>
      </c>
      <c r="M5" s="1">
        <v>10904414</v>
      </c>
      <c r="N5" s="1" t="b">
        <v>1</v>
      </c>
      <c r="O5" s="1">
        <v>34.257217774502003</v>
      </c>
      <c r="P5" s="1"/>
      <c r="Q5" s="1"/>
      <c r="R5" s="1"/>
      <c r="S5" s="1"/>
      <c r="T5" s="1">
        <v>34.257217774502003</v>
      </c>
      <c r="U5" s="1"/>
      <c r="V5" s="1"/>
      <c r="W5" s="1"/>
      <c r="X5" s="1" t="s">
        <v>3</v>
      </c>
      <c r="Y5" s="4"/>
      <c r="Z5" t="b">
        <v>1</v>
      </c>
      <c r="AA5" s="1" t="s">
        <v>10</v>
      </c>
      <c r="AB5">
        <v>34.299999999999997</v>
      </c>
      <c r="AD5" s="3" t="s">
        <v>14</v>
      </c>
    </row>
    <row r="6" spans="1:32" ht="25" customHeight="1" x14ac:dyDescent="0.2">
      <c r="A6" s="4"/>
      <c r="B6" s="5"/>
      <c r="C6" s="5"/>
      <c r="D6" s="2">
        <v>1</v>
      </c>
      <c r="E6">
        <v>3</v>
      </c>
      <c r="F6">
        <v>4</v>
      </c>
      <c r="G6">
        <v>1021007.748375</v>
      </c>
      <c r="J6">
        <f t="shared" ref="J6:J8" si="0">AVERAGE(G6:I6)/1000</f>
        <v>1021.007748375</v>
      </c>
      <c r="K6">
        <v>157404</v>
      </c>
      <c r="L6">
        <v>0.24999978318660601</v>
      </c>
      <c r="M6">
        <v>8514499</v>
      </c>
      <c r="N6" s="1" t="b">
        <v>1</v>
      </c>
      <c r="O6">
        <v>1</v>
      </c>
      <c r="S6" t="b">
        <v>1</v>
      </c>
      <c r="T6">
        <v>1</v>
      </c>
      <c r="Y6" s="4"/>
      <c r="AD6" s="1" t="s">
        <v>44</v>
      </c>
      <c r="AE6" s="1" t="s">
        <v>46</v>
      </c>
      <c r="AF6" s="1" t="s">
        <v>45</v>
      </c>
    </row>
    <row r="7" spans="1:32" ht="25" customHeight="1" x14ac:dyDescent="0.2">
      <c r="A7" s="4"/>
      <c r="B7" s="5"/>
      <c r="C7" s="5"/>
      <c r="D7" s="2">
        <v>1</v>
      </c>
      <c r="E7">
        <v>4</v>
      </c>
      <c r="F7">
        <v>4</v>
      </c>
      <c r="G7">
        <v>4419737.1001249999</v>
      </c>
      <c r="J7">
        <f t="shared" si="0"/>
        <v>4419.7371001250003</v>
      </c>
      <c r="K7">
        <v>610332</v>
      </c>
      <c r="L7">
        <v>0.124999986476955</v>
      </c>
      <c r="M7">
        <v>36440064</v>
      </c>
      <c r="N7" s="1" t="b">
        <v>1</v>
      </c>
      <c r="O7">
        <v>62.942359082339998</v>
      </c>
      <c r="P7" t="s">
        <v>40</v>
      </c>
      <c r="S7" t="b">
        <v>1</v>
      </c>
      <c r="T7">
        <v>64.037710267616006</v>
      </c>
      <c r="U7" t="s">
        <v>40</v>
      </c>
      <c r="Y7" s="4"/>
      <c r="Z7" t="b">
        <v>1</v>
      </c>
      <c r="AA7" t="s">
        <v>41</v>
      </c>
      <c r="AB7">
        <v>63.998787772043997</v>
      </c>
      <c r="AC7" t="s">
        <v>40</v>
      </c>
      <c r="AD7" s="1" t="s">
        <v>42</v>
      </c>
    </row>
    <row r="8" spans="1:32" ht="25" customHeight="1" x14ac:dyDescent="0.2">
      <c r="A8" s="4" t="s">
        <v>21</v>
      </c>
      <c r="B8" s="5" t="s">
        <v>22</v>
      </c>
      <c r="C8" s="1"/>
      <c r="D8" s="1">
        <v>1</v>
      </c>
      <c r="E8">
        <v>1</v>
      </c>
      <c r="F8">
        <v>3</v>
      </c>
      <c r="G8">
        <v>7111.4561670000003</v>
      </c>
      <c r="H8">
        <v>7722.7123339999998</v>
      </c>
      <c r="J8">
        <f t="shared" si="0"/>
        <v>7.4170842505000003</v>
      </c>
      <c r="K8">
        <v>2298</v>
      </c>
      <c r="L8">
        <v>0.124993330872935</v>
      </c>
      <c r="M8">
        <v>80666</v>
      </c>
      <c r="N8" t="b">
        <v>1</v>
      </c>
      <c r="O8">
        <v>1</v>
      </c>
      <c r="P8" t="s">
        <v>31</v>
      </c>
      <c r="R8">
        <v>0</v>
      </c>
      <c r="S8" t="b">
        <v>1</v>
      </c>
      <c r="T8">
        <v>1</v>
      </c>
      <c r="U8" t="s">
        <v>31</v>
      </c>
      <c r="W8">
        <v>0</v>
      </c>
      <c r="X8">
        <v>1</v>
      </c>
      <c r="Y8" t="s">
        <v>6</v>
      </c>
      <c r="Z8" t="b">
        <v>1</v>
      </c>
      <c r="AA8" t="s">
        <v>33</v>
      </c>
      <c r="AB8">
        <v>1</v>
      </c>
      <c r="AD8" s="1" t="s">
        <v>26</v>
      </c>
    </row>
    <row r="9" spans="1:32" ht="25" customHeight="1" x14ac:dyDescent="0.2">
      <c r="A9" s="4"/>
      <c r="B9" s="5"/>
      <c r="E9">
        <v>2</v>
      </c>
      <c r="G9">
        <v>2440.3157500000002</v>
      </c>
      <c r="K9">
        <v>1077</v>
      </c>
      <c r="L9">
        <v>0.12498488928567</v>
      </c>
      <c r="M9">
        <v>14152</v>
      </c>
      <c r="N9" t="b">
        <v>1</v>
      </c>
      <c r="O9">
        <v>1</v>
      </c>
      <c r="X9">
        <v>1</v>
      </c>
      <c r="Y9" t="s">
        <v>6</v>
      </c>
      <c r="Z9" t="b">
        <v>1</v>
      </c>
      <c r="AA9" t="s">
        <v>33</v>
      </c>
      <c r="AB9">
        <v>1</v>
      </c>
      <c r="AD9" s="1" t="s">
        <v>37</v>
      </c>
    </row>
    <row r="10" spans="1:32" ht="25" customHeight="1" x14ac:dyDescent="0.2">
      <c r="A10" s="4"/>
      <c r="B10" s="5"/>
      <c r="E10">
        <v>3</v>
      </c>
      <c r="G10">
        <v>2613.098375</v>
      </c>
      <c r="K10">
        <v>1077</v>
      </c>
      <c r="L10">
        <v>0.12498488928567</v>
      </c>
      <c r="M10">
        <v>14152</v>
      </c>
      <c r="N10" t="b">
        <v>1</v>
      </c>
      <c r="O10">
        <v>1.7594916368260001</v>
      </c>
      <c r="S10" t="b">
        <v>1</v>
      </c>
      <c r="T10">
        <v>1.799959738878</v>
      </c>
      <c r="Y10" t="s">
        <v>6</v>
      </c>
      <c r="AA10" t="s">
        <v>35</v>
      </c>
      <c r="AB10">
        <v>1.8</v>
      </c>
      <c r="AD10" s="1" t="s">
        <v>37</v>
      </c>
    </row>
    <row r="11" spans="1:32" ht="25" customHeight="1" x14ac:dyDescent="0.2">
      <c r="A11" s="4"/>
      <c r="B11" s="5"/>
      <c r="E11">
        <v>4</v>
      </c>
      <c r="F11">
        <v>3</v>
      </c>
      <c r="G11">
        <v>7679.9757079999999</v>
      </c>
      <c r="K11">
        <v>2298</v>
      </c>
      <c r="L11">
        <v>0.124993330872935</v>
      </c>
      <c r="M11">
        <v>80666</v>
      </c>
      <c r="N11" t="b">
        <v>0</v>
      </c>
      <c r="O11" t="s">
        <v>38</v>
      </c>
      <c r="S11" t="b">
        <v>0</v>
      </c>
      <c r="T11" t="s">
        <v>38</v>
      </c>
      <c r="Z11" t="b">
        <v>0</v>
      </c>
      <c r="AA11" t="s">
        <v>38</v>
      </c>
      <c r="AD11" s="1" t="s">
        <v>26</v>
      </c>
    </row>
    <row r="24" spans="30:30" ht="25" customHeight="1" x14ac:dyDescent="0.2">
      <c r="AD24" cm="1">
        <f t="array" aca="1" ref="AD24" ca="1">+AD5:AD24</f>
        <v>0</v>
      </c>
    </row>
  </sheetData>
  <mergeCells count="14">
    <mergeCell ref="AE1:AE3"/>
    <mergeCell ref="X1:AC2"/>
    <mergeCell ref="AD1:AD3"/>
    <mergeCell ref="A8:A11"/>
    <mergeCell ref="B8:B11"/>
    <mergeCell ref="C4:C7"/>
    <mergeCell ref="A1:C2"/>
    <mergeCell ref="Y4:Y7"/>
    <mergeCell ref="A4:A7"/>
    <mergeCell ref="B4:B7"/>
    <mergeCell ref="G3:I3"/>
    <mergeCell ref="G1:W1"/>
    <mergeCell ref="N2:R2"/>
    <mergeCell ref="S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He</dc:creator>
  <cp:lastModifiedBy>Microsoft Office User</cp:lastModifiedBy>
  <dcterms:created xsi:type="dcterms:W3CDTF">2026-04-25T15:57:39Z</dcterms:created>
  <dcterms:modified xsi:type="dcterms:W3CDTF">2026-04-27T11:09:17Z</dcterms:modified>
</cp:coreProperties>
</file>